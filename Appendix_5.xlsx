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5" documentId="11_E60897F41BE170836B02CE998F75CCDC64E183C8" xr6:coauthVersionLast="47" xr6:coauthVersionMax="47" xr10:uidLastSave="{18034EE1-6730-4FD7-9C43-42E69510E1E1}"/>
  <bookViews>
    <workbookView xWindow="240" yWindow="105" windowWidth="14805" windowHeight="8010" xr2:uid="{00000000-000D-0000-FFFF-FFFF00000000}"/>
  </bookViews>
  <sheets>
    <sheet name="COVERAGE_EVALUA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" l="1"/>
  <c r="C36" i="2"/>
  <c r="L32" i="2"/>
  <c r="K32" i="2"/>
  <c r="H31" i="2"/>
  <c r="G31" i="2"/>
  <c r="D27" i="2"/>
  <c r="C27" i="2"/>
  <c r="H25" i="2"/>
  <c r="G25" i="2"/>
  <c r="L21" i="2"/>
  <c r="K21" i="2"/>
  <c r="D19" i="2"/>
  <c r="C19" i="2"/>
  <c r="H17" i="2"/>
  <c r="G17" i="2"/>
  <c r="L11" i="2"/>
  <c r="K11" i="2"/>
  <c r="D11" i="2"/>
  <c r="C11" i="2"/>
  <c r="H6" i="2"/>
  <c r="G6" i="2"/>
  <c r="K37" i="2" s="1"/>
  <c r="L37" i="2" s="1"/>
  <c r="K40" i="2" l="1"/>
  <c r="L40" i="2" s="1"/>
</calcChain>
</file>

<file path=xl/sharedStrings.xml><?xml version="1.0" encoding="utf-8"?>
<sst xmlns="http://schemas.openxmlformats.org/spreadsheetml/2006/main" count="107" uniqueCount="74">
  <si>
    <t>SC / RC</t>
  </si>
  <si>
    <t>ARUBA</t>
  </si>
  <si>
    <t>AUTH-001</t>
  </si>
  <si>
    <t>NET-001</t>
  </si>
  <si>
    <t>REC-001</t>
  </si>
  <si>
    <t>AUTH-002</t>
  </si>
  <si>
    <t>NET-002</t>
  </si>
  <si>
    <t>REC-002</t>
  </si>
  <si>
    <t>AUTH-003</t>
  </si>
  <si>
    <t>NET-003</t>
  </si>
  <si>
    <t>REC-003</t>
  </si>
  <si>
    <t>AUTH-004</t>
  </si>
  <si>
    <t>Total:</t>
  </si>
  <si>
    <t>REC-004</t>
  </si>
  <si>
    <t>AUTH-005</t>
  </si>
  <si>
    <t>REC-005</t>
  </si>
  <si>
    <t>AUTH-006</t>
  </si>
  <si>
    <t>REC-006</t>
  </si>
  <si>
    <t>AUTH-007</t>
  </si>
  <si>
    <t>SYS-001</t>
  </si>
  <si>
    <t>REC-007</t>
  </si>
  <si>
    <t>AUTH-008</t>
  </si>
  <si>
    <t>SYS-002</t>
  </si>
  <si>
    <t>REC-008</t>
  </si>
  <si>
    <t>SYS-003</t>
  </si>
  <si>
    <t>SYS-004</t>
  </si>
  <si>
    <t>SYS-005</t>
  </si>
  <si>
    <t>6.10</t>
  </si>
  <si>
    <t>ID-001</t>
  </si>
  <si>
    <t>SYS-006</t>
  </si>
  <si>
    <t>LOG-001</t>
  </si>
  <si>
    <t>ID-002</t>
  </si>
  <si>
    <t>SYS-007</t>
  </si>
  <si>
    <t>LOG-002</t>
  </si>
  <si>
    <t>ID-003</t>
  </si>
  <si>
    <t>SYS-008</t>
  </si>
  <si>
    <t>LOG-003</t>
  </si>
  <si>
    <t>ID-004</t>
  </si>
  <si>
    <t>LOG-004</t>
  </si>
  <si>
    <t>ID-005</t>
  </si>
  <si>
    <t>LOG-005</t>
  </si>
  <si>
    <t>LOG-006</t>
  </si>
  <si>
    <t>THREAT-001</t>
  </si>
  <si>
    <t>LOG-007</t>
  </si>
  <si>
    <t>THREAT-002</t>
  </si>
  <si>
    <t>AUTHZ-001</t>
  </si>
  <si>
    <t>THREAT-003</t>
  </si>
  <si>
    <t>AUTHZ-002</t>
  </si>
  <si>
    <t>THREAT-004</t>
  </si>
  <si>
    <t>AUTHZ-003</t>
  </si>
  <si>
    <t>THREAT-005</t>
  </si>
  <si>
    <t>SEC-001</t>
  </si>
  <si>
    <t>AUTHZ-004</t>
  </si>
  <si>
    <t>SEC-002</t>
  </si>
  <si>
    <t>AUTHZ-005</t>
  </si>
  <si>
    <t>SEC-003</t>
  </si>
  <si>
    <t>SEC-004</t>
  </si>
  <si>
    <t>TIME-001</t>
  </si>
  <si>
    <t>SEC-005</t>
  </si>
  <si>
    <t>TIME-002</t>
  </si>
  <si>
    <t>SEC-006</t>
  </si>
  <si>
    <t>TIME-003</t>
  </si>
  <si>
    <t>SEC-007</t>
  </si>
  <si>
    <t>SEC-008</t>
  </si>
  <si>
    <t>NET-004</t>
  </si>
  <si>
    <t>NET-005</t>
  </si>
  <si>
    <t>RESULTS</t>
  </si>
  <si>
    <t>NET-006</t>
  </si>
  <si>
    <t>Source</t>
  </si>
  <si>
    <t>Number</t>
  </si>
  <si>
    <t>Coverage</t>
  </si>
  <si>
    <t>Framework</t>
  </si>
  <si>
    <t>Scalance / Ruggedcom (SC / RC)</t>
  </si>
  <si>
    <t>Aruba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</si>
</sst>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9F0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center"/>
    </xf>
    <xf numFmtId="9" fontId="0" fillId="4" borderId="9" xfId="0" applyNumberFormat="1" applyFill="1" applyBorder="1" applyAlignment="1">
      <alignment horizontal="center"/>
    </xf>
    <xf numFmtId="0" fontId="0" fillId="0" borderId="7" xfId="0" applyBorder="1" applyAlignment="1">
      <alignment horizontal="left" wrapText="1"/>
    </xf>
    <xf numFmtId="0" fontId="0" fillId="4" borderId="8" xfId="0" applyFill="1" applyBorder="1" applyAlignment="1">
      <alignment horizontal="center"/>
    </xf>
    <xf numFmtId="10" fontId="0" fillId="4" borderId="9" xfId="0" applyNumberFormat="1" applyFill="1" applyBorder="1" applyAlignment="1">
      <alignment horizontal="center"/>
    </xf>
    <xf numFmtId="0" fontId="0" fillId="4" borderId="13" xfId="0" applyFill="1" applyBorder="1"/>
    <xf numFmtId="0" fontId="0" fillId="4" borderId="14" xfId="0" applyFill="1" applyBorder="1" applyAlignment="1">
      <alignment horizontal="center"/>
    </xf>
    <xf numFmtId="10" fontId="0" fillId="4" borderId="15" xfId="0" applyNumberFormat="1" applyFill="1" applyBorder="1" applyAlignment="1">
      <alignment horizont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E8826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8787-B5ED-4039-BC65-4852B6069711}">
  <sheetPr>
    <pageSetUpPr fitToPage="1"/>
  </sheetPr>
  <dimension ref="B2:L40"/>
  <sheetViews>
    <sheetView tabSelected="1" workbookViewId="0">
      <selection sqref="A1:XFD1"/>
    </sheetView>
  </sheetViews>
  <sheetFormatPr defaultRowHeight="15"/>
  <cols>
    <col min="1" max="1" width="3.7109375" customWidth="1"/>
    <col min="2" max="2" width="10.85546875" bestFit="1" customWidth="1"/>
    <col min="3" max="3" width="7.5703125" bestFit="1" customWidth="1"/>
    <col min="4" max="4" width="7.140625" bestFit="1" customWidth="1"/>
    <col min="5" max="5" width="3.7109375" customWidth="1"/>
    <col min="6" max="6" width="11.7109375" bestFit="1" customWidth="1"/>
    <col min="7" max="7" width="7.5703125" bestFit="1" customWidth="1"/>
    <col min="8" max="8" width="7.140625" bestFit="1" customWidth="1"/>
    <col min="9" max="9" width="3.7109375" customWidth="1"/>
    <col min="10" max="10" width="11.7109375" bestFit="1" customWidth="1"/>
    <col min="11" max="11" width="8.140625" bestFit="1" customWidth="1"/>
    <col min="12" max="12" width="9.28515625" bestFit="1" customWidth="1"/>
    <col min="13" max="13" width="3.7109375" customWidth="1"/>
    <col min="14" max="14" width="12.140625" customWidth="1"/>
    <col min="15" max="15" width="8.140625" bestFit="1" customWidth="1"/>
    <col min="16" max="16" width="9.28515625" bestFit="1" customWidth="1"/>
    <col min="17" max="17" width="7.140625" bestFit="1" customWidth="1"/>
    <col min="18" max="18" width="29.7109375" customWidth="1"/>
    <col min="19" max="19" width="8.140625" bestFit="1" customWidth="1"/>
    <col min="20" max="20" width="9.28515625" bestFit="1" customWidth="1"/>
  </cols>
  <sheetData>
    <row r="2" spans="2:12" ht="15" customHeight="1">
      <c r="B2" s="1">
        <v>6.1</v>
      </c>
      <c r="C2" s="2" t="s">
        <v>0</v>
      </c>
      <c r="D2" s="3" t="s">
        <v>1</v>
      </c>
      <c r="F2" s="1">
        <v>6.5</v>
      </c>
      <c r="G2" s="2" t="s">
        <v>0</v>
      </c>
      <c r="H2" s="3" t="s">
        <v>1</v>
      </c>
      <c r="J2" s="1">
        <v>6.9</v>
      </c>
      <c r="K2" s="2" t="s">
        <v>0</v>
      </c>
      <c r="L2" s="3" t="s">
        <v>1</v>
      </c>
    </row>
    <row r="3" spans="2:12">
      <c r="B3" s="4" t="s">
        <v>2</v>
      </c>
      <c r="C3" s="5">
        <v>1</v>
      </c>
      <c r="D3" s="6">
        <v>1</v>
      </c>
      <c r="F3" s="4" t="s">
        <v>3</v>
      </c>
      <c r="G3" s="7">
        <v>1</v>
      </c>
      <c r="H3" s="8">
        <v>1</v>
      </c>
      <c r="J3" s="4" t="s">
        <v>4</v>
      </c>
      <c r="K3" s="7">
        <v>1</v>
      </c>
      <c r="L3" s="8">
        <v>0</v>
      </c>
    </row>
    <row r="4" spans="2:12">
      <c r="B4" s="9" t="s">
        <v>5</v>
      </c>
      <c r="C4" s="10">
        <v>0.5</v>
      </c>
      <c r="D4" s="11">
        <v>1</v>
      </c>
      <c r="F4" s="9" t="s">
        <v>6</v>
      </c>
      <c r="G4" s="12">
        <v>1</v>
      </c>
      <c r="H4" s="13">
        <v>0.5</v>
      </c>
      <c r="J4" s="9" t="s">
        <v>7</v>
      </c>
      <c r="K4" s="12">
        <v>1</v>
      </c>
      <c r="L4" s="13">
        <v>1</v>
      </c>
    </row>
    <row r="5" spans="2:12">
      <c r="B5" s="9" t="s">
        <v>8</v>
      </c>
      <c r="C5" s="10">
        <v>1</v>
      </c>
      <c r="D5" s="11">
        <v>0.5</v>
      </c>
      <c r="F5" s="14" t="s">
        <v>9</v>
      </c>
      <c r="G5" s="15">
        <v>0.5</v>
      </c>
      <c r="H5" s="16">
        <v>1</v>
      </c>
      <c r="J5" s="9" t="s">
        <v>10</v>
      </c>
      <c r="K5" s="12">
        <v>1</v>
      </c>
      <c r="L5" s="13">
        <v>0.5</v>
      </c>
    </row>
    <row r="6" spans="2:12">
      <c r="B6" s="9" t="s">
        <v>11</v>
      </c>
      <c r="C6" s="10">
        <v>1</v>
      </c>
      <c r="D6" s="11">
        <v>1</v>
      </c>
      <c r="F6" s="17" t="s">
        <v>12</v>
      </c>
      <c r="G6" s="18">
        <f>SUM(G3:G5)</f>
        <v>2.5</v>
      </c>
      <c r="H6" s="19">
        <f>SUM(H3:H5)</f>
        <v>2.5</v>
      </c>
      <c r="J6" s="9" t="s">
        <v>13</v>
      </c>
      <c r="K6" s="12">
        <v>1</v>
      </c>
      <c r="L6" s="13">
        <v>1</v>
      </c>
    </row>
    <row r="7" spans="2:12">
      <c r="B7" s="9" t="s">
        <v>14</v>
      </c>
      <c r="C7" s="10">
        <v>1</v>
      </c>
      <c r="D7" s="11">
        <v>1</v>
      </c>
      <c r="J7" s="9" t="s">
        <v>15</v>
      </c>
      <c r="K7" s="12">
        <v>1</v>
      </c>
      <c r="L7" s="13">
        <v>1</v>
      </c>
    </row>
    <row r="8" spans="2:12">
      <c r="B8" s="9" t="s">
        <v>16</v>
      </c>
      <c r="C8" s="10">
        <v>1</v>
      </c>
      <c r="D8" s="11">
        <v>1</v>
      </c>
      <c r="F8" s="1">
        <v>6.6</v>
      </c>
      <c r="G8" s="2" t="s">
        <v>0</v>
      </c>
      <c r="H8" s="3" t="s">
        <v>1</v>
      </c>
      <c r="J8" s="9" t="s">
        <v>17</v>
      </c>
      <c r="K8" s="12">
        <v>1</v>
      </c>
      <c r="L8" s="13">
        <v>1</v>
      </c>
    </row>
    <row r="9" spans="2:12">
      <c r="B9" s="9" t="s">
        <v>18</v>
      </c>
      <c r="C9" s="10">
        <v>1</v>
      </c>
      <c r="D9" s="11">
        <v>1</v>
      </c>
      <c r="F9" s="4" t="s">
        <v>19</v>
      </c>
      <c r="G9" s="7">
        <v>0</v>
      </c>
      <c r="H9" s="8">
        <v>1</v>
      </c>
      <c r="J9" s="9" t="s">
        <v>20</v>
      </c>
      <c r="K9" s="12">
        <v>0.5</v>
      </c>
      <c r="L9" s="13">
        <v>0.5</v>
      </c>
    </row>
    <row r="10" spans="2:12">
      <c r="B10" s="14" t="s">
        <v>21</v>
      </c>
      <c r="C10" s="20">
        <v>1</v>
      </c>
      <c r="D10" s="21">
        <v>1</v>
      </c>
      <c r="F10" s="9" t="s">
        <v>22</v>
      </c>
      <c r="G10" s="12">
        <v>0</v>
      </c>
      <c r="H10" s="13">
        <v>1</v>
      </c>
      <c r="J10" s="14" t="s">
        <v>23</v>
      </c>
      <c r="K10" s="15">
        <v>1</v>
      </c>
      <c r="L10" s="16">
        <v>0.5</v>
      </c>
    </row>
    <row r="11" spans="2:12">
      <c r="B11" s="17" t="s">
        <v>12</v>
      </c>
      <c r="C11" s="18">
        <f>SUM(C3:C10)</f>
        <v>7.5</v>
      </c>
      <c r="D11" s="19">
        <f>SUM(D3:D10)</f>
        <v>7.5</v>
      </c>
      <c r="F11" s="9" t="s">
        <v>24</v>
      </c>
      <c r="G11" s="12">
        <v>0</v>
      </c>
      <c r="H11" s="13">
        <v>0</v>
      </c>
      <c r="J11" s="17" t="s">
        <v>12</v>
      </c>
      <c r="K11" s="18">
        <f>SUM(K3:K10)</f>
        <v>7.5</v>
      </c>
      <c r="L11" s="19">
        <f>SUM(L3:L10)</f>
        <v>5.5</v>
      </c>
    </row>
    <row r="12" spans="2:12">
      <c r="F12" s="9" t="s">
        <v>25</v>
      </c>
      <c r="G12" s="12">
        <v>0</v>
      </c>
      <c r="H12" s="13">
        <v>1</v>
      </c>
    </row>
    <row r="13" spans="2:12">
      <c r="B13" s="1">
        <v>6.2</v>
      </c>
      <c r="C13" s="2" t="s">
        <v>0</v>
      </c>
      <c r="D13" s="3" t="s">
        <v>1</v>
      </c>
      <c r="F13" s="9" t="s">
        <v>26</v>
      </c>
      <c r="G13" s="12">
        <v>0</v>
      </c>
      <c r="H13" s="13">
        <v>1</v>
      </c>
      <c r="J13" s="1" t="s">
        <v>27</v>
      </c>
      <c r="K13" s="2" t="s">
        <v>0</v>
      </c>
      <c r="L13" s="3" t="s">
        <v>1</v>
      </c>
    </row>
    <row r="14" spans="2:12">
      <c r="B14" s="4" t="s">
        <v>28</v>
      </c>
      <c r="C14" s="7">
        <v>1</v>
      </c>
      <c r="D14" s="8">
        <v>0.5</v>
      </c>
      <c r="F14" s="9" t="s">
        <v>29</v>
      </c>
      <c r="G14" s="12">
        <v>0</v>
      </c>
      <c r="H14" s="13">
        <v>1</v>
      </c>
      <c r="J14" s="4" t="s">
        <v>30</v>
      </c>
      <c r="K14" s="7">
        <v>0</v>
      </c>
      <c r="L14" s="8">
        <v>1</v>
      </c>
    </row>
    <row r="15" spans="2:12">
      <c r="B15" s="9" t="s">
        <v>31</v>
      </c>
      <c r="C15" s="12">
        <v>1</v>
      </c>
      <c r="D15" s="13">
        <v>0</v>
      </c>
      <c r="F15" s="9" t="s">
        <v>32</v>
      </c>
      <c r="G15" s="12">
        <v>0</v>
      </c>
      <c r="H15" s="13">
        <v>0</v>
      </c>
      <c r="J15" s="9" t="s">
        <v>33</v>
      </c>
      <c r="K15" s="12">
        <v>0</v>
      </c>
      <c r="L15" s="13">
        <v>1</v>
      </c>
    </row>
    <row r="16" spans="2:12">
      <c r="B16" s="9" t="s">
        <v>34</v>
      </c>
      <c r="C16" s="12">
        <v>0.5</v>
      </c>
      <c r="D16" s="13">
        <v>0.5</v>
      </c>
      <c r="F16" s="14" t="s">
        <v>35</v>
      </c>
      <c r="G16" s="15">
        <v>0</v>
      </c>
      <c r="H16" s="16">
        <v>1</v>
      </c>
      <c r="J16" s="9" t="s">
        <v>36</v>
      </c>
      <c r="K16" s="12">
        <v>0</v>
      </c>
      <c r="L16" s="13">
        <v>0</v>
      </c>
    </row>
    <row r="17" spans="2:12">
      <c r="B17" s="9" t="s">
        <v>37</v>
      </c>
      <c r="C17" s="12">
        <v>1</v>
      </c>
      <c r="D17" s="13">
        <v>0.5</v>
      </c>
      <c r="F17" s="17" t="s">
        <v>12</v>
      </c>
      <c r="G17" s="18">
        <f>SUM(G9:G16)</f>
        <v>0</v>
      </c>
      <c r="H17" s="19">
        <f>SUM(H9:H16)</f>
        <v>6</v>
      </c>
      <c r="J17" s="9" t="s">
        <v>38</v>
      </c>
      <c r="K17" s="12">
        <v>0</v>
      </c>
      <c r="L17" s="13">
        <v>0</v>
      </c>
    </row>
    <row r="18" spans="2:12">
      <c r="B18" s="14" t="s">
        <v>39</v>
      </c>
      <c r="C18" s="15">
        <v>1</v>
      </c>
      <c r="D18" s="16">
        <v>1</v>
      </c>
      <c r="J18" s="9" t="s">
        <v>40</v>
      </c>
      <c r="K18" s="12">
        <v>0</v>
      </c>
      <c r="L18" s="13">
        <v>0.5</v>
      </c>
    </row>
    <row r="19" spans="2:12">
      <c r="B19" s="17" t="s">
        <v>12</v>
      </c>
      <c r="C19" s="18">
        <f>SUM(C14:C18)</f>
        <v>4.5</v>
      </c>
      <c r="D19" s="19">
        <f>SUM(D14:D18)</f>
        <v>2.5</v>
      </c>
      <c r="F19" s="1">
        <v>6.7</v>
      </c>
      <c r="G19" s="2" t="s">
        <v>0</v>
      </c>
      <c r="H19" s="3" t="s">
        <v>1</v>
      </c>
      <c r="J19" s="9" t="s">
        <v>41</v>
      </c>
      <c r="K19" s="12">
        <v>0</v>
      </c>
      <c r="L19" s="13">
        <v>0</v>
      </c>
    </row>
    <row r="20" spans="2:12">
      <c r="F20" s="4" t="s">
        <v>42</v>
      </c>
      <c r="G20" s="7">
        <v>0</v>
      </c>
      <c r="H20" s="8">
        <v>1</v>
      </c>
      <c r="J20" s="14" t="s">
        <v>43</v>
      </c>
      <c r="K20" s="15">
        <v>1</v>
      </c>
      <c r="L20" s="16">
        <v>1</v>
      </c>
    </row>
    <row r="21" spans="2:12">
      <c r="B21" s="1">
        <v>6.3</v>
      </c>
      <c r="C21" s="2" t="s">
        <v>0</v>
      </c>
      <c r="D21" s="3" t="s">
        <v>1</v>
      </c>
      <c r="F21" s="9" t="s">
        <v>44</v>
      </c>
      <c r="G21" s="12">
        <v>0</v>
      </c>
      <c r="H21" s="13">
        <v>1</v>
      </c>
      <c r="J21" s="17" t="s">
        <v>12</v>
      </c>
      <c r="K21" s="18">
        <f>SUM(K14:K20)</f>
        <v>1</v>
      </c>
      <c r="L21" s="19">
        <f>SUM(L14:L20)</f>
        <v>3.5</v>
      </c>
    </row>
    <row r="22" spans="2:12">
      <c r="B22" s="4" t="s">
        <v>45</v>
      </c>
      <c r="C22" s="7">
        <v>0</v>
      </c>
      <c r="D22" s="8">
        <v>1</v>
      </c>
      <c r="F22" s="9" t="s">
        <v>46</v>
      </c>
      <c r="G22" s="12">
        <v>0</v>
      </c>
      <c r="H22" s="13">
        <v>1</v>
      </c>
    </row>
    <row r="23" spans="2:12">
      <c r="B23" s="9" t="s">
        <v>47</v>
      </c>
      <c r="C23" s="12">
        <v>0</v>
      </c>
      <c r="D23" s="13">
        <v>1</v>
      </c>
      <c r="F23" s="9" t="s">
        <v>48</v>
      </c>
      <c r="G23" s="12">
        <v>0</v>
      </c>
      <c r="H23" s="13">
        <v>0</v>
      </c>
      <c r="J23" s="22">
        <v>6.11</v>
      </c>
      <c r="K23" s="2" t="s">
        <v>0</v>
      </c>
      <c r="L23" s="3" t="s">
        <v>1</v>
      </c>
    </row>
    <row r="24" spans="2:12">
      <c r="B24" s="9" t="s">
        <v>49</v>
      </c>
      <c r="C24" s="12">
        <v>0</v>
      </c>
      <c r="D24" s="13">
        <v>1</v>
      </c>
      <c r="F24" s="9" t="s">
        <v>50</v>
      </c>
      <c r="G24" s="12">
        <v>0</v>
      </c>
      <c r="H24" s="13">
        <v>0.5</v>
      </c>
      <c r="J24" s="4" t="s">
        <v>51</v>
      </c>
      <c r="K24" s="7">
        <v>0</v>
      </c>
      <c r="L24" s="8">
        <v>0</v>
      </c>
    </row>
    <row r="25" spans="2:12">
      <c r="B25" s="9" t="s">
        <v>52</v>
      </c>
      <c r="C25" s="12">
        <v>1</v>
      </c>
      <c r="D25" s="13">
        <v>1</v>
      </c>
      <c r="F25" s="23" t="s">
        <v>12</v>
      </c>
      <c r="G25" s="24">
        <f>SUM(G20:G24)</f>
        <v>0</v>
      </c>
      <c r="H25" s="25">
        <f>SUM(H20:H24)</f>
        <v>3.5</v>
      </c>
      <c r="J25" s="9" t="s">
        <v>53</v>
      </c>
      <c r="K25" s="12">
        <v>0</v>
      </c>
      <c r="L25" s="13">
        <v>0</v>
      </c>
    </row>
    <row r="26" spans="2:12">
      <c r="B26" s="9" t="s">
        <v>54</v>
      </c>
      <c r="C26" s="12">
        <v>0</v>
      </c>
      <c r="D26" s="13">
        <v>0.5</v>
      </c>
      <c r="J26" s="9" t="s">
        <v>55</v>
      </c>
      <c r="K26" s="12">
        <v>0</v>
      </c>
      <c r="L26" s="13">
        <v>0</v>
      </c>
    </row>
    <row r="27" spans="2:12">
      <c r="B27" s="23" t="s">
        <v>12</v>
      </c>
      <c r="C27" s="24">
        <f>SUM(C22:C26)</f>
        <v>1</v>
      </c>
      <c r="D27" s="25">
        <f>SUM(D22:D26)</f>
        <v>4.5</v>
      </c>
      <c r="F27" s="1">
        <v>6.8</v>
      </c>
      <c r="G27" s="2" t="s">
        <v>0</v>
      </c>
      <c r="H27" s="3" t="s">
        <v>1</v>
      </c>
      <c r="J27" s="9" t="s">
        <v>56</v>
      </c>
      <c r="K27" s="12">
        <v>0</v>
      </c>
      <c r="L27" s="13">
        <v>0</v>
      </c>
    </row>
    <row r="28" spans="2:12">
      <c r="F28" s="4" t="s">
        <v>57</v>
      </c>
      <c r="G28" s="7">
        <v>0</v>
      </c>
      <c r="H28" s="8">
        <v>1</v>
      </c>
      <c r="J28" s="9" t="s">
        <v>58</v>
      </c>
      <c r="K28" s="12">
        <v>0</v>
      </c>
      <c r="L28" s="13">
        <v>0</v>
      </c>
    </row>
    <row r="29" spans="2:12">
      <c r="B29" s="1">
        <v>6.4</v>
      </c>
      <c r="C29" s="2" t="s">
        <v>0</v>
      </c>
      <c r="D29" s="3" t="s">
        <v>1</v>
      </c>
      <c r="F29" s="9" t="s">
        <v>59</v>
      </c>
      <c r="G29" s="12">
        <v>0</v>
      </c>
      <c r="H29" s="13">
        <v>1</v>
      </c>
      <c r="J29" s="9" t="s">
        <v>60</v>
      </c>
      <c r="K29" s="12">
        <v>0</v>
      </c>
      <c r="L29" s="13">
        <v>0</v>
      </c>
    </row>
    <row r="30" spans="2:12">
      <c r="B30" s="4" t="s">
        <v>3</v>
      </c>
      <c r="C30" s="7">
        <v>1</v>
      </c>
      <c r="D30" s="8">
        <v>0</v>
      </c>
      <c r="F30" s="14" t="s">
        <v>61</v>
      </c>
      <c r="G30" s="15">
        <v>0</v>
      </c>
      <c r="H30" s="16">
        <v>1</v>
      </c>
      <c r="J30" s="9" t="s">
        <v>62</v>
      </c>
      <c r="K30" s="12">
        <v>0</v>
      </c>
      <c r="L30" s="13">
        <v>0</v>
      </c>
    </row>
    <row r="31" spans="2:12">
      <c r="B31" s="9" t="s">
        <v>6</v>
      </c>
      <c r="C31" s="12">
        <v>1</v>
      </c>
      <c r="D31" s="13">
        <v>0</v>
      </c>
      <c r="F31" s="17" t="s">
        <v>12</v>
      </c>
      <c r="G31" s="18">
        <f>SUM(G28:G30)</f>
        <v>0</v>
      </c>
      <c r="H31" s="19">
        <f>SUM(H28:H30)</f>
        <v>3</v>
      </c>
      <c r="J31" s="14" t="s">
        <v>63</v>
      </c>
      <c r="K31" s="15">
        <v>0.5</v>
      </c>
      <c r="L31" s="16">
        <v>1</v>
      </c>
    </row>
    <row r="32" spans="2:12">
      <c r="B32" s="9" t="s">
        <v>9</v>
      </c>
      <c r="C32" s="12">
        <v>0</v>
      </c>
      <c r="D32" s="13">
        <v>1</v>
      </c>
      <c r="J32" s="17" t="s">
        <v>12</v>
      </c>
      <c r="K32" s="18">
        <f>SUM(K24:K31)</f>
        <v>0.5</v>
      </c>
      <c r="L32" s="19">
        <f>SUM(L24:L31)</f>
        <v>1</v>
      </c>
    </row>
    <row r="33" spans="2:12">
      <c r="B33" s="9" t="s">
        <v>64</v>
      </c>
      <c r="C33" s="12">
        <v>1</v>
      </c>
      <c r="D33" s="13">
        <v>0.5</v>
      </c>
    </row>
    <row r="34" spans="2:12">
      <c r="B34" s="9" t="s">
        <v>65</v>
      </c>
      <c r="C34" s="12">
        <v>0.5</v>
      </c>
      <c r="D34" s="13">
        <v>0.5</v>
      </c>
      <c r="J34" s="26" t="s">
        <v>66</v>
      </c>
      <c r="K34" s="27"/>
      <c r="L34" s="28"/>
    </row>
    <row r="35" spans="2:12">
      <c r="B35" s="14" t="s">
        <v>67</v>
      </c>
      <c r="C35" s="15">
        <v>1</v>
      </c>
      <c r="D35" s="16">
        <v>1</v>
      </c>
      <c r="J35" s="29" t="s">
        <v>68</v>
      </c>
      <c r="K35" s="30" t="s">
        <v>69</v>
      </c>
      <c r="L35" s="31" t="s">
        <v>70</v>
      </c>
    </row>
    <row r="36" spans="2:12">
      <c r="B36" s="17" t="s">
        <v>12</v>
      </c>
      <c r="C36" s="18">
        <f>SUM(C30:C35)</f>
        <v>4.5</v>
      </c>
      <c r="D36" s="19">
        <f>SUM(D30:D35)</f>
        <v>3</v>
      </c>
      <c r="J36" s="32" t="s">
        <v>71</v>
      </c>
      <c r="K36" s="33">
        <v>66</v>
      </c>
      <c r="L36" s="34">
        <v>1</v>
      </c>
    </row>
    <row r="37" spans="2:12">
      <c r="J37" s="35" t="s">
        <v>72</v>
      </c>
      <c r="K37" s="36">
        <f>SUM(G6,K11,C11,C19,G17,K21,K32,G25,G31,C27,C36)</f>
        <v>29</v>
      </c>
      <c r="L37" s="37">
        <f>K37/K36</f>
        <v>0.43939393939393939</v>
      </c>
    </row>
    <row r="38" spans="2:12">
      <c r="J38" s="35"/>
      <c r="K38" s="36"/>
      <c r="L38" s="37"/>
    </row>
    <row r="39" spans="2:12">
      <c r="J39" s="35"/>
      <c r="K39" s="36"/>
      <c r="L39" s="37"/>
    </row>
    <row r="40" spans="2:12">
      <c r="J40" s="38" t="s">
        <v>73</v>
      </c>
      <c r="K40" s="39">
        <f>SUM(L11,H6,D11,D19,H17,L21,H25,D27,H31,D36,L32)</f>
        <v>42.5</v>
      </c>
      <c r="L40" s="40">
        <f>K40/K36</f>
        <v>0.64393939393939392</v>
      </c>
    </row>
  </sheetData>
  <mergeCells count="4">
    <mergeCell ref="J34:L34"/>
    <mergeCell ref="J37:J39"/>
    <mergeCell ref="K37:K39"/>
    <mergeCell ref="L37:L39"/>
  </mergeCells>
  <conditionalFormatting sqref="C10:D10">
    <cfRule type="cellIs" dxfId="4" priority="3" operator="equal">
      <formula>0</formula>
    </cfRule>
    <cfRule type="cellIs" dxfId="3" priority="4" operator="equal">
      <formula>1</formula>
    </cfRule>
  </conditionalFormatting>
  <conditionalFormatting sqref="C3:D10 C14:D18 C22:D26 C30:D35 G3:H5 G9:H16 G20:H24 G28:H30 K3:L10 K14:L20 K24:L31">
    <cfRule type="cellIs" dxfId="2" priority="1" operator="equal">
      <formula>0.5</formula>
    </cfRule>
    <cfRule type="cellIs" dxfId="1" priority="2" operator="equal">
      <formula>0</formula>
    </cfRule>
    <cfRule type="cellIs" dxfId="0" priority="5" operator="equal">
      <formula>1</formula>
    </cfRule>
  </conditionalFormatting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Kuzina, Valerija</cp:lastModifiedBy>
  <cp:revision/>
  <dcterms:created xsi:type="dcterms:W3CDTF">2026-04-20T20:34:36Z</dcterms:created>
  <dcterms:modified xsi:type="dcterms:W3CDTF">2026-04-20T20:35:30Z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2026-04-20T20:34:41Z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5f057e5e-94d4-4fba-ad5f-1fd8ff071dcf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10, 3, 0, 2</vt:lpwstr>
  </property>
</Properties>
</file>